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2018621\Desktop\GITHUB\"/>
    </mc:Choice>
  </mc:AlternateContent>
  <xr:revisionPtr revIDLastSave="0" documentId="13_ncr:1_{7999BE2F-605B-41E3-98D7-60DD3094F1E4}" xr6:coauthVersionLast="47" xr6:coauthVersionMax="47" xr10:uidLastSave="{00000000-0000-0000-0000-000000000000}"/>
  <bookViews>
    <workbookView xWindow="-110" yWindow="-110" windowWidth="19420" windowHeight="10300" xr2:uid="{A7323DA7-CE7E-48C6-A8F4-9AC1EC4B60BA}"/>
  </bookViews>
  <sheets>
    <sheet name="Agenda" sheetId="1" r:id="rId1"/>
    <sheet name="lista" sheetId="2" r:id="rId2"/>
  </sheets>
  <definedNames>
    <definedName name="_xlnm._FilterDatabase" localSheetId="0" hidden="1">Agenda!$A$1:$K$23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 a="1"/>
  <c r="J3" i="1" s="1"/>
  <c r="J4" i="1" a="1"/>
  <c r="J4" i="1" s="1"/>
  <c r="J5" i="1" a="1"/>
  <c r="J5" i="1" s="1"/>
  <c r="J6" i="1" a="1"/>
  <c r="J6" i="1" s="1"/>
  <c r="J7" i="1" a="1"/>
  <c r="J7" i="1" s="1"/>
  <c r="J8" i="1" a="1"/>
  <c r="J8" i="1" s="1"/>
  <c r="J9" i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23" i="1" a="1"/>
  <c r="J23" i="1" s="1"/>
  <c r="J2" i="1" a="1"/>
  <c r="J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tc={22DAF0B9-265A-4045-A322-22EB611E5130}</author>
  </authors>
  <commentList>
    <comment ref="K1" authorId="0" shapeId="0" xr:uid="{22DAF0B9-265A-4045-A322-22EB611E513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Inclua Just caso tenha atrasos ou erros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<sst xmlns="http://schemas.openxmlformats.org/spreadsheetml/2006/main" count="131" uniqueCount="39">
  <si>
    <t>ATIVO</t>
  </si>
  <si>
    <t>RELATORIOS</t>
  </si>
  <si>
    <t>HORÁRIO FIM</t>
  </si>
  <si>
    <t>SEGUNDA-FEIRA</t>
  </si>
  <si>
    <t>TERÇA-FEIRA</t>
  </si>
  <si>
    <t>QUARTA-FEIRA</t>
  </si>
  <si>
    <t>QUINTA-FEIRA</t>
  </si>
  <si>
    <t>SEXTA-FEIRA</t>
  </si>
  <si>
    <t>FEITO?</t>
  </si>
  <si>
    <t>STATUS</t>
  </si>
  <si>
    <t>OBS</t>
  </si>
  <si>
    <t>NÃO</t>
  </si>
  <si>
    <t>X</t>
  </si>
  <si>
    <t>SIM</t>
  </si>
  <si>
    <t>Opção</t>
  </si>
  <si>
    <t>ATRASO</t>
  </si>
  <si>
    <t>RELATORIO 1</t>
  </si>
  <si>
    <t>RELATORIO 2</t>
  </si>
  <si>
    <t>RELATORIO 3</t>
  </si>
  <si>
    <t>RELATORIO 4</t>
  </si>
  <si>
    <t>RELATORIO 5</t>
  </si>
  <si>
    <t>RELATORIO 6</t>
  </si>
  <si>
    <t>RELATORIO 7</t>
  </si>
  <si>
    <t>RELATORIO 8</t>
  </si>
  <si>
    <t>RELATORIO 9</t>
  </si>
  <si>
    <t>RELATORIO 10</t>
  </si>
  <si>
    <t>RELATORIO 11</t>
  </si>
  <si>
    <t>RELATORIO 12</t>
  </si>
  <si>
    <t>RELATORIO 13</t>
  </si>
  <si>
    <t>RELATORIO 14</t>
  </si>
  <si>
    <t>RELATORIO 15</t>
  </si>
  <si>
    <t>RELATORIO 16</t>
  </si>
  <si>
    <t>RELATORIO 17</t>
  </si>
  <si>
    <t>RELATORIO 18</t>
  </si>
  <si>
    <t>RELATORIO 19</t>
  </si>
  <si>
    <t>RELATORIO 20</t>
  </si>
  <si>
    <t>RELATORIO 21</t>
  </si>
  <si>
    <t>RELATORIO 22</t>
  </si>
  <si>
    <t>OBS para caso de atraso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</si>
</sst>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slantDashDot">
        <color theme="0" tint="-0.24994659260841701"/>
      </left>
      <right style="slantDashDot">
        <color theme="0" tint="-0.2499465926084170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595314</xdr:colOff>
      <xdr:row>25</xdr:row>
      <xdr:rowOff>71437</xdr:rowOff>
    </xdr:from>
    <xdr:to>
      <xdr:col>6</xdr:col>
      <xdr:colOff>539751</xdr:colOff>
      <xdr:row>29</xdr:row>
      <xdr:rowOff>61392</xdr:rowOff>
    </xdr:to>
    <xdr:sp macro="[0]!Apagar_Fe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2D64ECF-438E-4CF9-EFB3-59BA10C4474D}"/>
            </a:ext>
          </a:extLst>
        </xdr:cNvPr>
        <xdr:cNvSpPr/>
      </xdr:nvSpPr>
      <xdr:spPr>
        <a:xfrm>
          <a:off x="7294564" y="2127250"/>
          <a:ext cx="2317750" cy="72020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APAGAR</a:t>
          </a:r>
          <a:r>
            <a:rPr lang="pt-BR" sz="1400" b="1" baseline="0">
              <a:solidFill>
                <a:schemeClr val="bg1"/>
              </a:solidFill>
            </a:rPr>
            <a:t> FEITO</a:t>
          </a:r>
          <a:endParaRPr lang="pt-BR" sz="14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enrique Longuinho Da Cruz" id="{B7C70FBE-63DC-4D4A-A6EF-82A38862B864}" userId="S::henrique.cruz@cea.com.br::f493ca15-de00-44b5-8feb-2cb0645e1a10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" dT="2026-01-20T19:52:16.09" personId="{B7C70FBE-63DC-4D4A-A6EF-82A38862B864}" id="{22DAF0B9-265A-4045-A322-22EB611E5130}">
    <text>Inclua Just caso tenha atrasos ou erros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7163E-7BFB-4F84-8885-893C8B38FF8F}">
  <sheetPr codeName="Planilha1"/>
  <dimension ref="A1:XFC23"/>
  <sheetViews>
    <sheetView showGridLines="0" tabSelected="1" zoomScale="75" zoomScaleNormal="75" workbookViewId="0"/>
  </sheetViews>
  <sheetFormatPr defaultColWidth="0" defaultRowHeight="14.5" outlineLevelCol="1" x14ac:dyDescent="0.35"/>
  <cols>
    <col min="1" max="1" width="18.453125" customWidth="1"/>
    <col min="2" max="2" width="41.7265625" style="7" bestFit="1" customWidth="1"/>
    <col min="3" max="3" width="16.54296875" bestFit="1" customWidth="1"/>
    <col min="4" max="4" width="19.1796875" customWidth="1" outlineLevel="1"/>
    <col min="5" max="5" width="16.26953125" customWidth="1" outlineLevel="1"/>
    <col min="6" max="6" width="17.7265625" customWidth="1" outlineLevel="1"/>
    <col min="7" max="8" width="17.1796875" customWidth="1" outlineLevel="1"/>
    <col min="9" max="9" width="17.1796875" customWidth="1"/>
    <col min="10" max="10" width="16" bestFit="1" customWidth="1"/>
    <col min="11" max="11" width="23.453125" customWidth="1"/>
    <col min="12" max="16383" width="8.7265625" hidden="1"/>
    <col min="16384" max="16384" width="2.1796875" hidden="1" customWidth="1"/>
  </cols>
  <sheetData>
    <row r="1" spans="1:11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4" t="s">
        <v>8</v>
      </c>
      <c r="J1" s="4" t="s">
        <v>9</v>
      </c>
      <c r="K1" s="4" t="s">
        <v>10</v>
      </c>
    </row>
    <row r="2" spans="1:11" ht="15" thickBot="1" x14ac:dyDescent="0.4">
      <c r="A2" s="2" t="s">
        <v>11</v>
      </c>
      <c r="B2" s="2" t="s">
        <v>16</v>
      </c>
      <c r="C2" s="5">
        <v>0.41666666666666669</v>
      </c>
      <c r="D2" s="3"/>
      <c r="E2" s="3"/>
      <c r="F2" s="3" t="s">
        <v>12</v>
      </c>
      <c r="G2" s="3"/>
      <c r="H2" s="3"/>
      <c r="I2" s="3"/>
      <c r="J2" s="6" t="str" cm="1">
        <f t="array" aca="1" ref="J2" ca="1">IFERROR(IF(INDEX($D2:$H2,WEEKDAY(TODAY(),2))&lt;&gt;"X",
"SEM ATT HJ",
IF(I2="ATRASO","ATRASO BASE",
IF(I2="NÃO","MANUTENÇÃO",
IF(I2="SIM",
"FEITO",
IF(NOW()-INT(NOW())&gt;=C2,
"ATRASADO","SEM ATT HJ"
)
)))),"SEM ATT HJ")</f>
        <v>SEM ATT HJ</v>
      </c>
      <c r="K2" s="6" t="s">
        <v>38</v>
      </c>
    </row>
    <row r="3" spans="1:11" ht="15" thickBot="1" x14ac:dyDescent="0.4">
      <c r="A3" s="2" t="s">
        <v>11</v>
      </c>
      <c r="B3" s="2" t="s">
        <v>17</v>
      </c>
      <c r="C3" s="5">
        <v>0.54166666666666663</v>
      </c>
      <c r="D3" s="3"/>
      <c r="E3" s="3"/>
      <c r="F3" s="3" t="s">
        <v>12</v>
      </c>
      <c r="G3" s="3"/>
      <c r="H3" s="3"/>
      <c r="I3" s="3"/>
      <c r="J3" s="6" t="str" cm="1">
        <f t="array" aca="1" ref="J3" ca="1">IFERROR(IF(INDEX($D3:$H3,WEEKDAY(TODAY(),2))&lt;&gt;"X",
"SEM ATT HJ",
IF(I3="ATRASO","ATRASO BASE",
IF(I3="NÃO","MANUTENÇÃO",
IF(I3="SIM",
"FEITO",
IF(NOW()-INT(NOW())&gt;=C3,
"ATRASADO","SEM ATT HJ"
)
)))),"SEM ATT HJ")</f>
        <v>SEM ATT HJ</v>
      </c>
      <c r="K3" s="6" t="s">
        <v>38</v>
      </c>
    </row>
    <row r="4" spans="1:11" ht="15" thickBot="1" x14ac:dyDescent="0.4">
      <c r="A4" s="2" t="s">
        <v>11</v>
      </c>
      <c r="B4" s="2" t="s">
        <v>18</v>
      </c>
      <c r="C4" s="5">
        <v>0.41666666666666669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/>
      <c r="J4" s="6" t="str" cm="1">
        <f t="array" aca="1" ref="J4" ca="1">IFERROR(IF(INDEX($D4:$H4,WEEKDAY(TODAY(),2))&lt;&gt;"X",
"SEM ATT HJ",
IF(I4="ATRASO","ATRASO BASE",
IF(I4="NÃO","MANUTENÇÃO",
IF(I4="SIM",
"FEITO",
IF(NOW()-INT(NOW())&gt;=C4,
"ATRASADO","SEM ATT HJ"
)
)))),"SEM ATT HJ")</f>
        <v>SEM ATT HJ</v>
      </c>
      <c r="K4" s="6" t="s">
        <v>38</v>
      </c>
    </row>
    <row r="5" spans="1:11" ht="15" thickBot="1" x14ac:dyDescent="0.4">
      <c r="A5" s="2" t="s">
        <v>13</v>
      </c>
      <c r="B5" s="2" t="s">
        <v>19</v>
      </c>
      <c r="C5" s="5">
        <v>0.66666666666666663</v>
      </c>
      <c r="D5" s="3"/>
      <c r="E5" s="3" t="s">
        <v>12</v>
      </c>
      <c r="F5" s="3"/>
      <c r="G5" s="3"/>
      <c r="H5" s="3"/>
      <c r="I5" s="3"/>
      <c r="J5" s="6" t="str" cm="1">
        <f t="array" aca="1" ref="J5" ca="1">IFERROR(IF(INDEX($D5:$H5,WEEKDAY(TODAY(),2))&lt;&gt;"X",
"SEM ATT HJ",
IF(I5="ATRASO","ATRASO BASE",
IF(I5="NÃO","MANUTENÇÃO",
IF(I5="SIM",
"FEITO",
IF(NOW()-INT(NOW())&gt;=C5,
"ATRASADO","SEM ATT HJ"
)
)))),"SEM ATT HJ")</f>
        <v>SEM ATT HJ</v>
      </c>
      <c r="K5" s="6" t="s">
        <v>38</v>
      </c>
    </row>
    <row r="6" spans="1:11" ht="15" thickBot="1" x14ac:dyDescent="0.4">
      <c r="A6" s="2" t="s">
        <v>13</v>
      </c>
      <c r="B6" s="2" t="s">
        <v>20</v>
      </c>
      <c r="C6" s="5">
        <v>0.45833333333333331</v>
      </c>
      <c r="D6" s="3"/>
      <c r="E6" s="3" t="s">
        <v>12</v>
      </c>
      <c r="F6" s="3"/>
      <c r="G6" s="3"/>
      <c r="H6" s="3"/>
      <c r="I6" s="3"/>
      <c r="J6" s="6" t="str" cm="1">
        <f t="array" aca="1" ref="J6" ca="1">IFERROR(IF(INDEX($D6:$H6,WEEKDAY(TODAY(),2))&lt;&gt;"X",
"SEM ATT HJ",
IF(I6="ATRASO","ATRASO BASE",
IF(I6="NÃO","MANUTENÇÃO",
IF(I6="SIM",
"FEITO",
IF(NOW()-INT(NOW())&gt;=C6,
"ATRASADO","SEM ATT HJ"
)
)))),"SEM ATT HJ")</f>
        <v>SEM ATT HJ</v>
      </c>
      <c r="K6" s="6" t="s">
        <v>38</v>
      </c>
    </row>
    <row r="7" spans="1:11" ht="15" thickBot="1" x14ac:dyDescent="0.4">
      <c r="A7" s="2" t="s">
        <v>13</v>
      </c>
      <c r="B7" s="2" t="s">
        <v>21</v>
      </c>
      <c r="C7" s="5">
        <v>0.44444444444444442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12</v>
      </c>
      <c r="I7" s="3"/>
      <c r="J7" s="6" t="str" cm="1">
        <f t="array" aca="1" ref="J7" ca="1">IFERROR(IF(INDEX($D7:$H7,WEEKDAY(TODAY(),2))&lt;&gt;"X",
"SEM ATT HJ",
IF(I7="ATRASO","ATRASO BASE",
IF(I7="NÃO","MANUTENÇÃO",
IF(I7="SIM",
"FEITO",
IF(NOW()-INT(NOW())&gt;=C7,
"ATRASADO","SEM ATT HJ"
)
)))),"SEM ATT HJ")</f>
        <v>SEM ATT HJ</v>
      </c>
      <c r="K7" s="6" t="s">
        <v>38</v>
      </c>
    </row>
    <row r="8" spans="1:11" ht="15" thickBot="1" x14ac:dyDescent="0.4">
      <c r="A8" s="2" t="s">
        <v>13</v>
      </c>
      <c r="B8" s="2" t="s">
        <v>22</v>
      </c>
      <c r="C8" s="5">
        <v>0.58333333333333337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/>
      <c r="J8" s="6" t="str" cm="1">
        <f t="array" aca="1" ref="J8" ca="1">IFERROR(IF(INDEX($D8:$H8,WEEKDAY(TODAY(),2))&lt;&gt;"X",
"SEM ATT HJ",
IF(I8="ATRASO","ATRASO BASE",
IF(I8="NÃO","MANUTENÇÃO",
IF(I8="SIM",
"FEITO",
IF(NOW()-INT(NOW())&gt;=C8,
"ATRASADO","SEM ATT HJ"
)
)))),"SEM ATT HJ")</f>
        <v>SEM ATT HJ</v>
      </c>
      <c r="K8" s="6" t="s">
        <v>38</v>
      </c>
    </row>
    <row r="9" spans="1:11" ht="15" thickBot="1" x14ac:dyDescent="0.4">
      <c r="A9" s="2" t="s">
        <v>13</v>
      </c>
      <c r="B9" s="2" t="s">
        <v>23</v>
      </c>
      <c r="C9" s="5">
        <v>0.45833333333333331</v>
      </c>
      <c r="D9" s="3"/>
      <c r="E9" s="3" t="s">
        <v>12</v>
      </c>
      <c r="F9" s="3"/>
      <c r="G9" s="3"/>
      <c r="H9" s="3"/>
      <c r="I9" s="3"/>
      <c r="J9" s="6" t="str" cm="1">
        <f t="array" aca="1" ref="J9" ca="1">IFERROR(IF(INDEX($D9:$H9,WEEKDAY(TODAY(),2))&lt;&gt;"X",
"SEM ATT HJ",
IF(I9="ATRASO","ATRASO BASE",
IF(I9="NÃO","MANUTENÇÃO",
IF(I9="SIM",
"FEITO",
IF(NOW()-INT(NOW())&gt;=C9,
"ATRASADO","SEM ATT HJ"
)
)))),"SEM ATT HJ")</f>
        <v>SEM ATT HJ</v>
      </c>
      <c r="K9" s="6" t="s">
        <v>38</v>
      </c>
    </row>
    <row r="10" spans="1:11" ht="15" thickBot="1" x14ac:dyDescent="0.4">
      <c r="A10" s="2" t="s">
        <v>13</v>
      </c>
      <c r="B10" s="2" t="s">
        <v>24</v>
      </c>
      <c r="C10" s="5">
        <v>0.79166666666666663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/>
      <c r="J10" s="6" t="str" cm="1">
        <f t="array" aca="1" ref="J10" ca="1">IFERROR(IF(INDEX($D10:$H10,WEEKDAY(TODAY(),2))&lt;&gt;"X",
"SEM ATT HJ",
IF(I10="ATRASO","ATRASO BASE",
IF(I10="NÃO","MANUTENÇÃO",
IF(I10="SIM",
"FEITO",
IF(NOW()-INT(NOW())&gt;=C10,
"ATRASADO","SEM ATT HJ"
)
)))),"SEM ATT HJ")</f>
        <v>SEM ATT HJ</v>
      </c>
      <c r="K10" s="6" t="s">
        <v>38</v>
      </c>
    </row>
    <row r="11" spans="1:11" ht="15" thickBot="1" x14ac:dyDescent="0.4">
      <c r="A11" s="2" t="s">
        <v>13</v>
      </c>
      <c r="B11" s="2" t="s">
        <v>25</v>
      </c>
      <c r="C11" s="5">
        <v>0.58333333333333337</v>
      </c>
      <c r="D11" s="3" t="s">
        <v>12</v>
      </c>
      <c r="E11" s="3"/>
      <c r="F11" s="3"/>
      <c r="G11" s="3"/>
      <c r="H11" s="3"/>
      <c r="I11" s="3"/>
      <c r="J11" s="6" t="str" cm="1">
        <f t="array" aca="1" ref="J11" ca="1">IFERROR(IF(INDEX($D11:$H11,WEEKDAY(TODAY(),2))&lt;&gt;"X",
"SEM ATT HJ",
IF(I11="ATRASO","ATRASO BASE",
IF(I11="NÃO","MANUTENÇÃO",
IF(I11="SIM",
"FEITO",
IF(NOW()-INT(NOW())&gt;=C11,
"ATRASADO","SEM ATT HJ"
)
)))),"SEM ATT HJ")</f>
        <v>SEM ATT HJ</v>
      </c>
      <c r="K11" s="6" t="s">
        <v>38</v>
      </c>
    </row>
    <row r="12" spans="1:11" ht="15" thickBot="1" x14ac:dyDescent="0.4">
      <c r="A12" s="2" t="s">
        <v>13</v>
      </c>
      <c r="B12" s="2" t="s">
        <v>26</v>
      </c>
      <c r="C12" s="5">
        <v>0.58333333333333337</v>
      </c>
      <c r="D12" s="3" t="s">
        <v>12</v>
      </c>
      <c r="E12" s="3"/>
      <c r="F12" s="3"/>
      <c r="G12" s="3"/>
      <c r="H12" s="3"/>
      <c r="I12" s="3"/>
      <c r="J12" s="6" t="str" cm="1">
        <f t="array" aca="1" ref="J12" ca="1">IFERROR(IF(INDEX($D12:$H12,WEEKDAY(TODAY(),2))&lt;&gt;"X",
"SEM ATT HJ",
IF(I12="ATRASO","ATRASO BASE",
IF(I12="NÃO","MANUTENÇÃO",
IF(I12="SIM",
"FEITO",
IF(NOW()-INT(NOW())&gt;=C12,
"ATRASADO","SEM ATT HJ"
)
)))),"SEM ATT HJ")</f>
        <v>SEM ATT HJ</v>
      </c>
      <c r="K12" s="6" t="s">
        <v>38</v>
      </c>
    </row>
    <row r="13" spans="1:11" ht="15" thickBot="1" x14ac:dyDescent="0.4">
      <c r="A13" s="2" t="s">
        <v>13</v>
      </c>
      <c r="B13" s="2" t="s">
        <v>27</v>
      </c>
      <c r="C13" s="5">
        <v>0.75</v>
      </c>
      <c r="D13" s="3" t="s">
        <v>12</v>
      </c>
      <c r="E13" s="3"/>
      <c r="F13" s="3"/>
      <c r="G13" s="3"/>
      <c r="H13" s="3"/>
      <c r="I13" s="3"/>
      <c r="J13" s="6" t="str" cm="1">
        <f t="array" aca="1" ref="J13" ca="1">IFERROR(IF(INDEX($D13:$H13,WEEKDAY(TODAY(),2))&lt;&gt;"X",
"SEM ATT HJ",
IF(I13="ATRASO","ATRASO BASE",
IF(I13="NÃO","MANUTENÇÃO",
IF(I13="SIM",
"FEITO",
IF(NOW()-INT(NOW())&gt;=C13,
"ATRASADO","SEM ATT HJ"
)
)))),"SEM ATT HJ")</f>
        <v>SEM ATT HJ</v>
      </c>
      <c r="K13" s="6" t="s">
        <v>38</v>
      </c>
    </row>
    <row r="14" spans="1:11" ht="15" thickBot="1" x14ac:dyDescent="0.4">
      <c r="A14" s="2" t="s">
        <v>13</v>
      </c>
      <c r="B14" s="2" t="s">
        <v>28</v>
      </c>
      <c r="C14" s="5">
        <v>0.66666666666666663</v>
      </c>
      <c r="D14" s="3"/>
      <c r="E14" s="3" t="s">
        <v>12</v>
      </c>
      <c r="F14" s="3"/>
      <c r="G14" s="3"/>
      <c r="H14" s="3"/>
      <c r="I14" s="3"/>
      <c r="J14" s="6" t="str" cm="1">
        <f t="array" aca="1" ref="J14" ca="1">IFERROR(IF(INDEX($D14:$H14,WEEKDAY(TODAY(),2))&lt;&gt;"X",
"SEM ATT HJ",
IF(I14="ATRASO","ATRASO BASE",
IF(I14="NÃO","MANUTENÇÃO",
IF(I14="SIM",
"FEITO",
IF(NOW()-INT(NOW())&gt;=C14,
"ATRASADO","SEM ATT HJ"
)
)))),"SEM ATT HJ")</f>
        <v>SEM ATT HJ</v>
      </c>
      <c r="K14" s="6" t="s">
        <v>38</v>
      </c>
    </row>
    <row r="15" spans="1:11" ht="15" thickBot="1" x14ac:dyDescent="0.4">
      <c r="A15" s="2" t="s">
        <v>13</v>
      </c>
      <c r="B15" s="2" t="s">
        <v>29</v>
      </c>
      <c r="C15" s="5">
        <v>0.5</v>
      </c>
      <c r="D15" s="3" t="s">
        <v>12</v>
      </c>
      <c r="E15" s="3"/>
      <c r="F15" s="3"/>
      <c r="G15" s="3"/>
      <c r="H15" s="3"/>
      <c r="I15" s="3"/>
      <c r="J15" s="6" t="str" cm="1">
        <f t="array" aca="1" ref="J15" ca="1">IFERROR(IF(INDEX($D15:$H15,WEEKDAY(TODAY(),2))&lt;&gt;"X",
"SEM ATT HJ",
IF(I15="ATRASO","ATRASO BASE",
IF(I15="NÃO","MANUTENÇÃO",
IF(I15="SIM",
"FEITO",
IF(NOW()-INT(NOW())&gt;=C15,
"ATRASADO","SEM ATT HJ"
)
)))),"SEM ATT HJ")</f>
        <v>SEM ATT HJ</v>
      </c>
      <c r="K15" s="6" t="s">
        <v>38</v>
      </c>
    </row>
    <row r="16" spans="1:11" ht="15" thickBot="1" x14ac:dyDescent="0.4">
      <c r="A16" s="2" t="s">
        <v>11</v>
      </c>
      <c r="B16" s="2" t="s">
        <v>30</v>
      </c>
      <c r="C16" s="5">
        <v>0.58333333333333337</v>
      </c>
      <c r="D16" s="3"/>
      <c r="E16" s="3"/>
      <c r="F16" s="3"/>
      <c r="G16" s="3"/>
      <c r="H16" s="3" t="s">
        <v>12</v>
      </c>
      <c r="I16" s="3"/>
      <c r="J16" s="6" t="str" cm="1">
        <f t="array" aca="1" ref="J16" ca="1">IFERROR(IF(INDEX($D16:$H16,WEEKDAY(TODAY(),2))&lt;&gt;"X",
"SEM ATT HJ",
IF(I16="ATRASO","ATRASO BASE",
IF(I16="NÃO","MANUTENÇÃO",
IF(I16="SIM",
"FEITO",
IF(NOW()-INT(NOW())&gt;=C16,
"ATRASADO","SEM ATT HJ"
)
)))),"SEM ATT HJ")</f>
        <v>SEM ATT HJ</v>
      </c>
      <c r="K16" s="6" t="s">
        <v>38</v>
      </c>
    </row>
    <row r="17" spans="1:11" ht="15" thickBot="1" x14ac:dyDescent="0.4">
      <c r="A17" s="2" t="s">
        <v>13</v>
      </c>
      <c r="B17" s="2" t="s">
        <v>31</v>
      </c>
      <c r="C17" s="5">
        <v>0.70833333333333337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12</v>
      </c>
      <c r="I17" s="3"/>
      <c r="J17" s="6" t="str" cm="1">
        <f t="array" aca="1" ref="J17" ca="1">IFERROR(IF(INDEX($D17:$H17,WEEKDAY(TODAY(),2))&lt;&gt;"X",
"SEM ATT HJ",
IF(I17="ATRASO","ATRASO BASE",
IF(I17="NÃO","MANUTENÇÃO",
IF(I17="SIM",
"FEITO",
IF(NOW()-INT(NOW())&gt;=C17,
"ATRASADO","SEM ATT HJ"
)
)))),"SEM ATT HJ")</f>
        <v>SEM ATT HJ</v>
      </c>
      <c r="K17" s="6" t="s">
        <v>38</v>
      </c>
    </row>
    <row r="18" spans="1:11" ht="15" thickBot="1" x14ac:dyDescent="0.4">
      <c r="A18" s="2" t="s">
        <v>13</v>
      </c>
      <c r="B18" s="2" t="s">
        <v>32</v>
      </c>
      <c r="C18" s="5">
        <v>0.45833333333333331</v>
      </c>
      <c r="D18" s="3" t="s">
        <v>12</v>
      </c>
      <c r="E18" s="3"/>
      <c r="F18" s="3"/>
      <c r="G18" s="3"/>
      <c r="H18" s="3"/>
      <c r="I18" s="3"/>
      <c r="J18" s="6" t="str" cm="1">
        <f t="array" aca="1" ref="J18" ca="1">IFERROR(IF(INDEX($D18:$H18,WEEKDAY(TODAY(),2))&lt;&gt;"X",
"SEM ATT HJ",
IF(I18="ATRASO","ATRASO BASE",
IF(I18="NÃO","MANUTENÇÃO",
IF(I18="SIM",
"FEITO",
IF(NOW()-INT(NOW())&gt;=C18,
"ATRASADO","SEM ATT HJ"
)
)))),"SEM ATT HJ")</f>
        <v>SEM ATT HJ</v>
      </c>
      <c r="K18" s="6" t="s">
        <v>38</v>
      </c>
    </row>
    <row r="19" spans="1:11" ht="15" thickBot="1" x14ac:dyDescent="0.4">
      <c r="A19" s="2" t="s">
        <v>13</v>
      </c>
      <c r="B19" s="2" t="s">
        <v>33</v>
      </c>
      <c r="C19" s="5">
        <v>0.64583333333333337</v>
      </c>
      <c r="D19" s="3" t="s">
        <v>12</v>
      </c>
      <c r="E19" s="3"/>
      <c r="F19" s="3"/>
      <c r="G19" s="3"/>
      <c r="H19" s="3"/>
      <c r="I19" s="3"/>
      <c r="J19" s="6" t="str" cm="1">
        <f t="array" aca="1" ref="J19" ca="1">IFERROR(IF(INDEX($D19:$H19,WEEKDAY(TODAY(),2))&lt;&gt;"X",
"SEM ATT HJ",
IF(I19="ATRASO","ATRASO BASE",
IF(I19="NÃO","MANUTENÇÃO",
IF(I19="SIM",
"FEITO",
IF(NOW()-INT(NOW())&gt;=C19,
"ATRASADO","SEM ATT HJ"
)
)))),"SEM ATT HJ")</f>
        <v>SEM ATT HJ</v>
      </c>
      <c r="K19" s="6" t="s">
        <v>38</v>
      </c>
    </row>
    <row r="20" spans="1:11" ht="15" thickBot="1" x14ac:dyDescent="0.4">
      <c r="A20" s="2" t="s">
        <v>13</v>
      </c>
      <c r="B20" s="2" t="s">
        <v>34</v>
      </c>
      <c r="C20" s="5">
        <v>0.58333333333333337</v>
      </c>
      <c r="D20" s="3" t="s">
        <v>12</v>
      </c>
      <c r="E20" s="3"/>
      <c r="F20" s="3"/>
      <c r="G20" s="3"/>
      <c r="H20" s="3"/>
      <c r="I20" s="3"/>
      <c r="J20" s="6" t="str" cm="1">
        <f t="array" aca="1" ref="J20" ca="1">IFERROR(IF(INDEX($D20:$H20,WEEKDAY(TODAY(),2))&lt;&gt;"X",
"SEM ATT HJ",
IF(I20="ATRASO","ATRASO BASE",
IF(I20="NÃO","MANUTENÇÃO",
IF(I20="SIM",
"FEITO",
IF(NOW()-INT(NOW())&gt;=C20,
"ATRASADO","SEM ATT HJ"
)
)))),"SEM ATT HJ")</f>
        <v>SEM ATT HJ</v>
      </c>
      <c r="K20" s="6" t="s">
        <v>38</v>
      </c>
    </row>
    <row r="21" spans="1:11" ht="15" thickBot="1" x14ac:dyDescent="0.4">
      <c r="A21" s="2" t="s">
        <v>13</v>
      </c>
      <c r="B21" s="2" t="s">
        <v>35</v>
      </c>
      <c r="C21" s="5">
        <v>0.64583333333333337</v>
      </c>
      <c r="D21" s="3" t="s">
        <v>12</v>
      </c>
      <c r="E21" s="3"/>
      <c r="F21" s="3"/>
      <c r="G21" s="3"/>
      <c r="H21" s="3"/>
      <c r="I21" s="3"/>
      <c r="J21" s="6" t="str" cm="1">
        <f t="array" aca="1" ref="J21" ca="1">IFERROR(IF(INDEX($D21:$H21,WEEKDAY(TODAY(),2))&lt;&gt;"X",
"SEM ATT HJ",
IF(I21="ATRASO","ATRASO BASE",
IF(I21="NÃO","MANUTENÇÃO",
IF(I21="SIM",
"FEITO",
IF(NOW()-INT(NOW())&gt;=C21,
"ATRASADO","SEM ATT HJ"
)
)))),"SEM ATT HJ")</f>
        <v>SEM ATT HJ</v>
      </c>
      <c r="K21" s="6" t="s">
        <v>38</v>
      </c>
    </row>
    <row r="22" spans="1:11" ht="15" thickBot="1" x14ac:dyDescent="0.4">
      <c r="A22" s="2" t="s">
        <v>13</v>
      </c>
      <c r="B22" s="2" t="s">
        <v>36</v>
      </c>
      <c r="C22" s="5">
        <v>0.625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/>
      <c r="J22" s="6" t="str" cm="1">
        <f t="array" aca="1" ref="J22" ca="1">IFERROR(IF(INDEX($D22:$H22,WEEKDAY(TODAY(),2))&lt;&gt;"X",
"SEM ATT HJ",
IF(I22="ATRASO","ATRASO BASE",
IF(I22="NÃO","MANUTENÇÃO",
IF(I22="SIM",
"FEITO",
IF(NOW()-INT(NOW())&gt;=C22,
"ATRASADO","SEM ATT HJ"
)
)))),"SEM ATT HJ")</f>
        <v>SEM ATT HJ</v>
      </c>
      <c r="K22" s="6" t="s">
        <v>38</v>
      </c>
    </row>
    <row r="23" spans="1:11" ht="15" thickBot="1" x14ac:dyDescent="0.4">
      <c r="A23" s="2" t="s">
        <v>13</v>
      </c>
      <c r="B23" s="2" t="s">
        <v>37</v>
      </c>
      <c r="C23" s="5">
        <v>0.45833333333333331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/>
      <c r="J23" s="6" t="str" cm="1">
        <f t="array" aca="1" ref="J23" ca="1">IFERROR(IF(INDEX($D23:$H23,WEEKDAY(TODAY(),2))&lt;&gt;"X",
"SEM ATT HJ",
IF(I23="ATRASO","ATRASO BASE",
IF(I23="NÃO","MANUTENÇÃO",
IF(I23="SIM",
"FEITO",
IF(NOW()-INT(NOW())&gt;=C23,
"ATRASADO","SEM ATT HJ"
)
)))),"SEM ATT HJ")</f>
        <v>SEM ATT HJ</v>
      </c>
      <c r="K23" s="6" t="s">
        <v>38</v>
      </c>
    </row>
  </sheetData>
  <autoFilter ref="A1:K23" xr:uid="{1727163E-7BFB-4F84-8885-893C8B38FF8F}"/>
  <phoneticPr fontId="3" type="noConversion"/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3F4637-D528-4197-8868-C2093990FE2E}">
          <x14:formula1>
            <xm:f>lista!$A$2:$A$4</xm:f>
          </x14:formula1>
          <xm:sqref>I2:I23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F0309-67AF-41E4-A375-DED058A34007}">
  <sheetPr codeName="Planilha2"/>
  <dimension ref="A1:A4"/>
  <sheetViews>
    <sheetView workbookViewId="0">
      <selection activeCell="A5" sqref="A5"/>
    </sheetView>
  </sheetViews>
  <sheetFormatPr defaultRowHeight="14.5" x14ac:dyDescent="0.35"/>
  <sheetData>
    <row r="1" spans="1:1" x14ac:dyDescent="0.35">
      <c r="A1" t="s">
        <v>14</v>
      </c>
    </row>
    <row r="2" spans="1:1" x14ac:dyDescent="0.35">
      <c r="A2" t="s">
        <v>13</v>
      </c>
    </row>
    <row r="3" spans="1:1" x14ac:dyDescent="0.35">
      <c r="A3" t="s">
        <v>11</v>
      </c>
    </row>
    <row r="4" spans="1:1" x14ac:dyDescent="0.35">
      <c r="A4" t="s">
        <v>15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f3e6971-980e-4c31-b3f5-18df78d6d157" xsi:nil="true"/>
    <lcf76f155ced4ddcb4097134ff3c332f xmlns="06c31a1f-6d61-48fb-b3ec-ad92d72fe5f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8EF70FB19A127458969E22A57C034AE" ma:contentTypeVersion="14" ma:contentTypeDescription="Crie um novo documento." ma:contentTypeScope="" ma:versionID="ff91f490fdc92ba2826a6500d5909da8">
  <xsd:schema xmlns:xsd="http://www.w3.org/2001/XMLSchema" xmlns:xs="http://www.w3.org/2001/XMLSchema" xmlns:p="http://schemas.microsoft.com/office/2006/metadata/properties" xmlns:ns2="06c31a1f-6d61-48fb-b3ec-ad92d72fe5f0" xmlns:ns3="cf3e6971-980e-4c31-b3f5-18df78d6d157" targetNamespace="http://schemas.microsoft.com/office/2006/metadata/properties" ma:root="true" ma:fieldsID="6f0e0c2a796e3aaa8050b8ec6dc8d2b5" ns2:_="" ns3:_="">
    <xsd:import namespace="06c31a1f-6d61-48fb-b3ec-ad92d72fe5f0"/>
    <xsd:import namespace="cf3e6971-980e-4c31-b3f5-18df78d6d1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c31a1f-6d61-48fb-b3ec-ad92d72fe5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6ee5afb9-bce2-40b6-a5da-c2e4a9bd44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3e6971-980e-4c31-b3f5-18df78d6d1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b7607ecb-d9d3-4dd1-99d9-763d743e2807}" ma:internalName="TaxCatchAll" ma:showField="CatchAllData" ma:web="cf3e6971-980e-4c31-b3f5-18df78d6d1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008D2F-CE5F-4DD9-8812-4B9E4B857A5A}">
  <ds:schemaRefs>
    <ds:schemaRef ds:uri="http://schemas.microsoft.com/office/2006/metadata/properties"/>
    <ds:schemaRef ds:uri="http://schemas.microsoft.com/office/infopath/2007/PartnerControls"/>
    <ds:schemaRef ds:uri="cf3e6971-980e-4c31-b3f5-18df78d6d157"/>
    <ds:schemaRef ds:uri="06c31a1f-6d61-48fb-b3ec-ad92d72fe5f0"/>
  </ds:schemaRefs>
</ds:datastoreItem>
</file>

<file path=customXml/itemProps2.xml><?xml version="1.0" encoding="utf-8"?>
<ds:datastoreItem xmlns:ds="http://schemas.openxmlformats.org/officeDocument/2006/customXml" ds:itemID="{5798746A-3221-4AED-9E42-CDCBA5061F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c31a1f-6d61-48fb-b3ec-ad92d72fe5f0"/>
    <ds:schemaRef ds:uri="cf3e6971-980e-4c31-b3f5-18df78d6d1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21B6E7B-B998-4E81-B8CB-68C317769A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Agenda</vt:lpstr>
      <vt:lpstr>lista</vt:lpstr>
    </vt:vector>
  </TitlesOfParts>
  <Manager/>
  <Company>C&amp;A MODAS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Henrique Longuinho Da Cruz</dc:creator>
  <cp:keywords/>
  <dc:description/>
  <cp:lastModifiedBy>Henrique Longuinho Da Cruz</cp:lastModifiedBy>
  <cp:revision/>
  <dcterms:created xsi:type="dcterms:W3CDTF">2025-12-02T13:41:16Z</dcterms:created>
  <dcterms:modified xsi:type="dcterms:W3CDTF">2026-04-25T17:21:27Z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0x01010098EF70FB19A127458969E22A57C034AE</vt:lpwstr>
  </property>
  <property fmtid="{D5CDD505-2E9C-101B-9397-08002B2CF9AE}" pid="3" name="MediaServiceImageTags">
    <vt:lpwstr/>
  </property>
</Properties>
</file>